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11\src\"/>
    </mc:Choice>
  </mc:AlternateContent>
  <xr:revisionPtr revIDLastSave="0" documentId="8_{CC7A0695-29FE-4FC1-8BAD-A34063140CB3}" xr6:coauthVersionLast="47" xr6:coauthVersionMax="47" xr10:uidLastSave="{00000000-0000-0000-0000-000000000000}"/>
  <bookViews>
    <workbookView xWindow="300" yWindow="1260" windowWidth="21615" windowHeight="15435" xr2:uid="{928CC288-3833-4081-9848-8286BE2A7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J58" i="1"/>
  <c r="J48" i="1"/>
  <c r="J47" i="1"/>
  <c r="H59" i="1"/>
  <c r="H60" i="1" s="1"/>
  <c r="H58" i="1"/>
  <c r="E68" i="1"/>
  <c r="H56" i="1"/>
  <c r="H55" i="1"/>
  <c r="H54" i="1"/>
  <c r="H53" i="1"/>
  <c r="H52" i="1"/>
  <c r="H51" i="1"/>
  <c r="H50" i="1"/>
  <c r="H49" i="1"/>
  <c r="H48" i="1"/>
  <c r="H47" i="1"/>
  <c r="H57" i="1"/>
  <c r="E57" i="1"/>
  <c r="E46" i="1"/>
  <c r="E35" i="1"/>
  <c r="E24" i="1"/>
  <c r="J37" i="1"/>
  <c r="J36" i="1"/>
  <c r="H37" i="1"/>
  <c r="H38" i="1"/>
  <c r="H39" i="1"/>
  <c r="H40" i="1"/>
  <c r="H41" i="1"/>
  <c r="H42" i="1"/>
  <c r="H43" i="1"/>
  <c r="H44" i="1"/>
  <c r="H45" i="1"/>
  <c r="H36" i="1"/>
  <c r="H34" i="1"/>
  <c r="H33" i="1"/>
  <c r="H32" i="1"/>
  <c r="H31" i="1"/>
  <c r="H30" i="1"/>
  <c r="H29" i="1"/>
  <c r="H28" i="1"/>
  <c r="H27" i="1"/>
  <c r="H26" i="1"/>
  <c r="H25" i="1"/>
  <c r="J26" i="1"/>
  <c r="J25" i="1"/>
  <c r="J14" i="1"/>
  <c r="J15" i="1"/>
  <c r="J3" i="1"/>
  <c r="H15" i="1"/>
  <c r="H16" i="1"/>
  <c r="H17" i="1"/>
  <c r="H18" i="1"/>
  <c r="H19" i="1"/>
  <c r="H20" i="1"/>
  <c r="H21" i="1"/>
  <c r="H22" i="1"/>
  <c r="H23" i="1"/>
  <c r="H14" i="1"/>
  <c r="H4" i="1"/>
  <c r="H5" i="1"/>
  <c r="H6" i="1"/>
  <c r="H7" i="1"/>
  <c r="H8" i="1"/>
  <c r="H9" i="1"/>
  <c r="H10" i="1"/>
  <c r="H11" i="1"/>
  <c r="H12" i="1"/>
  <c r="H3" i="1"/>
  <c r="E13" i="1"/>
  <c r="H61" i="1" l="1"/>
  <c r="H24" i="1"/>
  <c r="H46" i="1"/>
  <c r="H35" i="1"/>
  <c r="H13" i="1"/>
  <c r="H62" i="1" l="1"/>
  <c r="H63" i="1" l="1"/>
  <c r="H64" i="1" s="1"/>
  <c r="H65" i="1" l="1"/>
  <c r="H66" i="1" s="1"/>
  <c r="H67" i="1" l="1"/>
  <c r="H68" i="1" s="1"/>
</calcChain>
</file>

<file path=xl/sharedStrings.xml><?xml version="1.0" encoding="utf-8"?>
<sst xmlns="http://schemas.openxmlformats.org/spreadsheetml/2006/main" count="21" uniqueCount="16">
  <si>
    <t>구분</t>
    <phoneticPr fontId="1" type="noConversion"/>
  </si>
  <si>
    <t>기본</t>
    <phoneticPr fontId="1" type="noConversion"/>
  </si>
  <si>
    <t>INCR</t>
    <phoneticPr fontId="1" type="noConversion"/>
  </si>
  <si>
    <t>Check And Set</t>
    <phoneticPr fontId="1" type="noConversion"/>
  </si>
  <si>
    <t>write-through</t>
    <phoneticPr fontId="1" type="noConversion"/>
  </si>
  <si>
    <t>시도횟수</t>
    <phoneticPr fontId="1" type="noConversion"/>
  </si>
  <si>
    <t>회차</t>
    <phoneticPr fontId="1" type="noConversion"/>
  </si>
  <si>
    <t>lock</t>
    <phoneticPr fontId="1" type="noConversion"/>
  </si>
  <si>
    <t>DB카운트</t>
    <phoneticPr fontId="1" type="noConversion"/>
  </si>
  <si>
    <t>Redis 카운트</t>
    <phoneticPr fontId="1" type="noConversion"/>
  </si>
  <si>
    <t>소요시간(ms)</t>
    <phoneticPr fontId="1" type="noConversion"/>
  </si>
  <si>
    <t>*공통
  - 스레드 : 50
  - 스레드 당 호출 수 : 100
  - 전체 호출 횟수 : 5000</t>
    <phoneticPr fontId="1" type="noConversion"/>
  </si>
  <si>
    <t>평균</t>
    <phoneticPr fontId="1" type="noConversion"/>
  </si>
  <si>
    <t>Loss</t>
    <phoneticPr fontId="1" type="noConversion"/>
  </si>
  <si>
    <t>유실된 업데이트가 약97%</t>
    <phoneticPr fontId="1" type="noConversion"/>
  </si>
  <si>
    <t>double-check-lock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</si>
</sst>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11CA-973B-4536-841A-2E33AD8A0BA8}">
  <sheetPr>
    <pageSetUpPr fitToPage="1"/>
  </sheetPr>
  <dimension ref="B1:J68"/>
  <sheetViews>
    <sheetView tabSelected="1" workbookViewId="0">
      <selection activeCell="B1" sqref="B1:H1"/>
    </sheetView>
  </sheetViews>
  <sheetFormatPr defaultRowHeight="16.5" x14ac:dyDescent="0.3"/>
  <cols>
    <col min="2" max="2" width="18.125" bestFit="1" customWidth="1"/>
    <col min="4" max="4" width="5.25" bestFit="1" customWidth="1"/>
    <col min="5" max="5" width="12.875" bestFit="1" customWidth="1"/>
    <col min="6" max="6" width="9.625" bestFit="1" customWidth="1"/>
    <col min="7" max="7" width="12.5" bestFit="1" customWidth="1"/>
    <col min="8" max="8" width="18.625" customWidth="1"/>
  </cols>
  <sheetData>
    <row r="1" spans="2:10" ht="71.25" customHeight="1" x14ac:dyDescent="0.3">
      <c r="B1" s="6" t="s">
        <v>11</v>
      </c>
      <c r="C1" s="7"/>
      <c r="D1" s="7"/>
      <c r="E1" s="7"/>
      <c r="F1" s="7"/>
      <c r="G1" s="7"/>
      <c r="H1" s="8"/>
    </row>
    <row r="2" spans="2:10" x14ac:dyDescent="0.3">
      <c r="B2" s="2" t="s">
        <v>0</v>
      </c>
      <c r="C2" s="2" t="s">
        <v>5</v>
      </c>
      <c r="D2" s="2" t="s">
        <v>6</v>
      </c>
      <c r="E2" s="2" t="s">
        <v>10</v>
      </c>
      <c r="F2" s="2" t="s">
        <v>8</v>
      </c>
      <c r="G2" s="2" t="s">
        <v>9</v>
      </c>
      <c r="H2" s="2" t="s">
        <v>13</v>
      </c>
    </row>
    <row r="3" spans="2:10" x14ac:dyDescent="0.3">
      <c r="B3" s="3" t="s">
        <v>1</v>
      </c>
      <c r="C3" s="3">
        <v>10</v>
      </c>
      <c r="D3" s="1">
        <v>1</v>
      </c>
      <c r="E3" s="4">
        <v>17475</v>
      </c>
      <c r="F3" s="1">
        <v>5000</v>
      </c>
      <c r="G3" s="1">
        <v>151</v>
      </c>
      <c r="H3" s="1">
        <f>(F3-G3)/5000</f>
        <v>0.9698</v>
      </c>
      <c r="J3">
        <f>MAX(E3:E12)</f>
        <v>19926</v>
      </c>
    </row>
    <row r="4" spans="2:10" x14ac:dyDescent="0.3">
      <c r="B4" s="3"/>
      <c r="C4" s="3"/>
      <c r="D4" s="1">
        <v>2</v>
      </c>
      <c r="E4" s="1">
        <v>18930</v>
      </c>
      <c r="F4" s="1">
        <v>5000</v>
      </c>
      <c r="G4" s="1">
        <v>155</v>
      </c>
      <c r="H4" s="1">
        <f t="shared" ref="H4:H56" si="0">(F4-G4)/5000</f>
        <v>0.96899999999999997</v>
      </c>
    </row>
    <row r="5" spans="2:10" x14ac:dyDescent="0.3">
      <c r="B5" s="3"/>
      <c r="C5" s="3"/>
      <c r="D5" s="1">
        <v>3</v>
      </c>
      <c r="E5" s="1">
        <v>18137</v>
      </c>
      <c r="F5" s="1">
        <v>5000</v>
      </c>
      <c r="G5" s="1">
        <v>149</v>
      </c>
      <c r="H5" s="1">
        <f t="shared" si="0"/>
        <v>0.97019999999999995</v>
      </c>
    </row>
    <row r="6" spans="2:10" x14ac:dyDescent="0.3">
      <c r="B6" s="3"/>
      <c r="C6" s="3"/>
      <c r="D6" s="1">
        <v>4</v>
      </c>
      <c r="E6" s="1">
        <v>18784</v>
      </c>
      <c r="F6" s="1">
        <v>5000</v>
      </c>
      <c r="G6" s="1">
        <v>149</v>
      </c>
      <c r="H6" s="1">
        <f t="shared" si="0"/>
        <v>0.97019999999999995</v>
      </c>
    </row>
    <row r="7" spans="2:10" x14ac:dyDescent="0.3">
      <c r="B7" s="3"/>
      <c r="C7" s="3"/>
      <c r="D7" s="1">
        <v>5</v>
      </c>
      <c r="E7" s="1">
        <v>18557</v>
      </c>
      <c r="F7" s="1">
        <v>5000</v>
      </c>
      <c r="G7" s="1">
        <v>144</v>
      </c>
      <c r="H7" s="1">
        <f t="shared" si="0"/>
        <v>0.97119999999999995</v>
      </c>
    </row>
    <row r="8" spans="2:10" x14ac:dyDescent="0.3">
      <c r="B8" s="3"/>
      <c r="C8" s="3"/>
      <c r="D8" s="1">
        <v>6</v>
      </c>
      <c r="E8" s="1">
        <v>18785</v>
      </c>
      <c r="F8" s="1">
        <v>5000</v>
      </c>
      <c r="G8" s="1">
        <v>152</v>
      </c>
      <c r="H8" s="1">
        <f t="shared" si="0"/>
        <v>0.96960000000000002</v>
      </c>
    </row>
    <row r="9" spans="2:10" x14ac:dyDescent="0.3">
      <c r="B9" s="3"/>
      <c r="C9" s="3"/>
      <c r="D9" s="1">
        <v>7</v>
      </c>
      <c r="E9" s="1">
        <v>18686</v>
      </c>
      <c r="F9" s="1">
        <v>5000</v>
      </c>
      <c r="G9" s="1">
        <v>152</v>
      </c>
      <c r="H9" s="1">
        <f t="shared" si="0"/>
        <v>0.96960000000000002</v>
      </c>
    </row>
    <row r="10" spans="2:10" x14ac:dyDescent="0.3">
      <c r="B10" s="3"/>
      <c r="C10" s="3"/>
      <c r="D10" s="1">
        <v>8</v>
      </c>
      <c r="E10" s="5">
        <v>19926</v>
      </c>
      <c r="F10" s="1">
        <v>5000</v>
      </c>
      <c r="G10" s="1">
        <v>148</v>
      </c>
      <c r="H10" s="1">
        <f t="shared" si="0"/>
        <v>0.97040000000000004</v>
      </c>
    </row>
    <row r="11" spans="2:10" x14ac:dyDescent="0.3">
      <c r="B11" s="3"/>
      <c r="C11" s="3"/>
      <c r="D11" s="1">
        <v>9</v>
      </c>
      <c r="E11" s="1">
        <v>18069</v>
      </c>
      <c r="F11" s="1">
        <v>5000</v>
      </c>
      <c r="G11" s="1">
        <v>145</v>
      </c>
      <c r="H11" s="1">
        <f t="shared" si="0"/>
        <v>0.97099999999999997</v>
      </c>
    </row>
    <row r="12" spans="2:10" x14ac:dyDescent="0.3">
      <c r="B12" s="3"/>
      <c r="C12" s="3"/>
      <c r="D12" s="1">
        <v>10</v>
      </c>
      <c r="E12" s="1">
        <v>18427</v>
      </c>
      <c r="F12" s="1">
        <v>5000</v>
      </c>
      <c r="G12" s="1">
        <v>158</v>
      </c>
      <c r="H12" s="1">
        <f t="shared" si="0"/>
        <v>0.96840000000000004</v>
      </c>
    </row>
    <row r="13" spans="2:10" x14ac:dyDescent="0.3">
      <c r="B13" s="3"/>
      <c r="C13" s="3" t="s">
        <v>12</v>
      </c>
      <c r="D13" s="3"/>
      <c r="E13" s="1">
        <f>AVERAGE(E3:E12)</f>
        <v>18577.599999999999</v>
      </c>
      <c r="F13" s="1"/>
      <c r="G13" s="1"/>
      <c r="H13" s="1">
        <f>AVERAGE(H3:H12)</f>
        <v>0.96993999999999991</v>
      </c>
      <c r="I13" t="s">
        <v>14</v>
      </c>
    </row>
    <row r="14" spans="2:10" x14ac:dyDescent="0.3">
      <c r="B14" s="3" t="s">
        <v>7</v>
      </c>
      <c r="C14" s="3">
        <v>10</v>
      </c>
      <c r="D14" s="1">
        <v>1</v>
      </c>
      <c r="E14" s="1">
        <v>270671</v>
      </c>
      <c r="F14" s="1">
        <v>5000</v>
      </c>
      <c r="G14" s="1">
        <v>5000</v>
      </c>
      <c r="H14" s="1">
        <f t="shared" si="0"/>
        <v>0</v>
      </c>
      <c r="J14">
        <f>MIN(E14:E23)</f>
        <v>269415</v>
      </c>
    </row>
    <row r="15" spans="2:10" x14ac:dyDescent="0.3">
      <c r="B15" s="3"/>
      <c r="C15" s="3"/>
      <c r="D15" s="1">
        <v>2</v>
      </c>
      <c r="E15" s="1">
        <v>270494</v>
      </c>
      <c r="F15" s="1">
        <v>5000</v>
      </c>
      <c r="G15" s="1">
        <v>5000</v>
      </c>
      <c r="H15" s="1">
        <f t="shared" si="0"/>
        <v>0</v>
      </c>
      <c r="J15">
        <f>MAX(E14:E23)</f>
        <v>272177</v>
      </c>
    </row>
    <row r="16" spans="2:10" x14ac:dyDescent="0.3">
      <c r="B16" s="3"/>
      <c r="C16" s="3"/>
      <c r="D16" s="1">
        <v>3</v>
      </c>
      <c r="E16" s="1">
        <v>270929</v>
      </c>
      <c r="F16" s="1">
        <v>5000</v>
      </c>
      <c r="G16" s="1">
        <v>5000</v>
      </c>
      <c r="H16" s="1">
        <f>(F16-G16)/5000</f>
        <v>0</v>
      </c>
    </row>
    <row r="17" spans="2:10" x14ac:dyDescent="0.3">
      <c r="B17" s="3"/>
      <c r="C17" s="3"/>
      <c r="D17" s="1">
        <v>4</v>
      </c>
      <c r="E17" s="1">
        <v>270874</v>
      </c>
      <c r="F17" s="1">
        <v>5000</v>
      </c>
      <c r="G17" s="1">
        <v>5000</v>
      </c>
      <c r="H17" s="1">
        <f>(F17-G17)/5000</f>
        <v>0</v>
      </c>
    </row>
    <row r="18" spans="2:10" x14ac:dyDescent="0.3">
      <c r="B18" s="3"/>
      <c r="C18" s="3"/>
      <c r="D18" s="1">
        <v>5</v>
      </c>
      <c r="E18" s="4">
        <v>269415</v>
      </c>
      <c r="F18" s="1">
        <v>5000</v>
      </c>
      <c r="G18" s="1">
        <v>5000</v>
      </c>
      <c r="H18" s="1">
        <f t="shared" si="0"/>
        <v>0</v>
      </c>
    </row>
    <row r="19" spans="2:10" x14ac:dyDescent="0.3">
      <c r="B19" s="3"/>
      <c r="C19" s="3"/>
      <c r="D19" s="1">
        <v>6</v>
      </c>
      <c r="E19" s="1">
        <v>269784</v>
      </c>
      <c r="F19" s="1">
        <v>5000</v>
      </c>
      <c r="G19" s="1">
        <v>5000</v>
      </c>
      <c r="H19" s="1">
        <f t="shared" si="0"/>
        <v>0</v>
      </c>
    </row>
    <row r="20" spans="2:10" x14ac:dyDescent="0.3">
      <c r="B20" s="3"/>
      <c r="C20" s="3"/>
      <c r="D20" s="1">
        <v>7</v>
      </c>
      <c r="E20" s="1">
        <v>270646</v>
      </c>
      <c r="F20" s="1">
        <v>5000</v>
      </c>
      <c r="G20" s="1">
        <v>5000</v>
      </c>
      <c r="H20" s="1">
        <f t="shared" si="0"/>
        <v>0</v>
      </c>
    </row>
    <row r="21" spans="2:10" x14ac:dyDescent="0.3">
      <c r="B21" s="3"/>
      <c r="C21" s="3"/>
      <c r="D21" s="1">
        <v>8</v>
      </c>
      <c r="E21" s="1">
        <v>271688</v>
      </c>
      <c r="F21" s="1">
        <v>5000</v>
      </c>
      <c r="G21" s="1">
        <v>5000</v>
      </c>
      <c r="H21" s="1">
        <f t="shared" si="0"/>
        <v>0</v>
      </c>
    </row>
    <row r="22" spans="2:10" x14ac:dyDescent="0.3">
      <c r="B22" s="3"/>
      <c r="C22" s="3"/>
      <c r="D22" s="1">
        <v>9</v>
      </c>
      <c r="E22" s="1">
        <v>272160</v>
      </c>
      <c r="F22" s="1">
        <v>5000</v>
      </c>
      <c r="G22" s="1">
        <v>5000</v>
      </c>
      <c r="H22" s="1">
        <f t="shared" si="0"/>
        <v>0</v>
      </c>
    </row>
    <row r="23" spans="2:10" x14ac:dyDescent="0.3">
      <c r="B23" s="3"/>
      <c r="C23" s="3"/>
      <c r="D23" s="1">
        <v>10</v>
      </c>
      <c r="E23" s="5">
        <v>272177</v>
      </c>
      <c r="F23" s="1">
        <v>5000</v>
      </c>
      <c r="G23" s="1">
        <v>5000</v>
      </c>
      <c r="H23" s="1">
        <f t="shared" si="0"/>
        <v>0</v>
      </c>
    </row>
    <row r="24" spans="2:10" x14ac:dyDescent="0.3">
      <c r="B24" s="3"/>
      <c r="C24" s="3" t="s">
        <v>12</v>
      </c>
      <c r="D24" s="3"/>
      <c r="E24" s="5">
        <f>AVERAGE((E14:E23))</f>
        <v>270883.8</v>
      </c>
      <c r="F24" s="1"/>
      <c r="G24" s="1"/>
      <c r="H24" s="1">
        <f>AVERAGE(H14:H23)</f>
        <v>0</v>
      </c>
    </row>
    <row r="25" spans="2:10" x14ac:dyDescent="0.3">
      <c r="B25" s="3" t="s">
        <v>2</v>
      </c>
      <c r="C25" s="3">
        <v>10</v>
      </c>
      <c r="D25" s="1">
        <v>1</v>
      </c>
      <c r="E25" s="1">
        <v>15824</v>
      </c>
      <c r="F25" s="1">
        <v>5000</v>
      </c>
      <c r="G25" s="1">
        <v>5000</v>
      </c>
      <c r="H25" s="1">
        <f t="shared" si="0"/>
        <v>0</v>
      </c>
      <c r="J25">
        <f>MIN(E25:E34)</f>
        <v>15507</v>
      </c>
    </row>
    <row r="26" spans="2:10" x14ac:dyDescent="0.3">
      <c r="B26" s="3"/>
      <c r="C26" s="3"/>
      <c r="D26" s="1">
        <v>2</v>
      </c>
      <c r="E26" s="1">
        <v>16022</v>
      </c>
      <c r="F26" s="1">
        <v>5000</v>
      </c>
      <c r="G26" s="1">
        <v>5000</v>
      </c>
      <c r="H26" s="1">
        <f t="shared" si="0"/>
        <v>0</v>
      </c>
      <c r="J26">
        <f>MAX(E25:E34)</f>
        <v>17113</v>
      </c>
    </row>
    <row r="27" spans="2:10" x14ac:dyDescent="0.3">
      <c r="B27" s="3"/>
      <c r="C27" s="3"/>
      <c r="D27" s="1">
        <v>3</v>
      </c>
      <c r="E27" s="5">
        <v>17113</v>
      </c>
      <c r="F27" s="1">
        <v>5000</v>
      </c>
      <c r="G27" s="1">
        <v>5000</v>
      </c>
      <c r="H27" s="1">
        <f t="shared" si="0"/>
        <v>0</v>
      </c>
    </row>
    <row r="28" spans="2:10" x14ac:dyDescent="0.3">
      <c r="B28" s="3"/>
      <c r="C28" s="3"/>
      <c r="D28" s="1">
        <v>4</v>
      </c>
      <c r="E28" s="1">
        <v>16126</v>
      </c>
      <c r="F28" s="1">
        <v>5000</v>
      </c>
      <c r="G28" s="1">
        <v>5000</v>
      </c>
      <c r="H28" s="1">
        <f t="shared" si="0"/>
        <v>0</v>
      </c>
    </row>
    <row r="29" spans="2:10" x14ac:dyDescent="0.3">
      <c r="B29" s="3"/>
      <c r="C29" s="3"/>
      <c r="D29" s="1">
        <v>5</v>
      </c>
      <c r="E29" s="1">
        <v>15622</v>
      </c>
      <c r="F29" s="1">
        <v>5000</v>
      </c>
      <c r="G29" s="1">
        <v>5000</v>
      </c>
      <c r="H29" s="1">
        <f t="shared" si="0"/>
        <v>0</v>
      </c>
    </row>
    <row r="30" spans="2:10" x14ac:dyDescent="0.3">
      <c r="B30" s="3"/>
      <c r="C30" s="3"/>
      <c r="D30" s="1">
        <v>6</v>
      </c>
      <c r="E30" s="1">
        <v>15745</v>
      </c>
      <c r="F30" s="1">
        <v>5000</v>
      </c>
      <c r="G30" s="1">
        <v>5000</v>
      </c>
      <c r="H30" s="1">
        <f t="shared" si="0"/>
        <v>0</v>
      </c>
    </row>
    <row r="31" spans="2:10" x14ac:dyDescent="0.3">
      <c r="B31" s="3"/>
      <c r="C31" s="3"/>
      <c r="D31" s="1">
        <v>7</v>
      </c>
      <c r="E31" s="4">
        <v>15507</v>
      </c>
      <c r="F31" s="1">
        <v>5000</v>
      </c>
      <c r="G31" s="1">
        <v>5000</v>
      </c>
      <c r="H31" s="1">
        <f t="shared" si="0"/>
        <v>0</v>
      </c>
    </row>
    <row r="32" spans="2:10" x14ac:dyDescent="0.3">
      <c r="B32" s="3"/>
      <c r="C32" s="3"/>
      <c r="D32" s="1">
        <v>8</v>
      </c>
      <c r="E32" s="1">
        <v>15754</v>
      </c>
      <c r="F32" s="1">
        <v>5000</v>
      </c>
      <c r="G32" s="1">
        <v>5000</v>
      </c>
      <c r="H32" s="1">
        <f t="shared" si="0"/>
        <v>0</v>
      </c>
    </row>
    <row r="33" spans="2:10" x14ac:dyDescent="0.3">
      <c r="B33" s="3"/>
      <c r="C33" s="3"/>
      <c r="D33" s="1">
        <v>9</v>
      </c>
      <c r="E33" s="1">
        <v>16249</v>
      </c>
      <c r="F33" s="1">
        <v>5000</v>
      </c>
      <c r="G33" s="1">
        <v>5000</v>
      </c>
      <c r="H33" s="1">
        <f t="shared" si="0"/>
        <v>0</v>
      </c>
    </row>
    <row r="34" spans="2:10" x14ac:dyDescent="0.3">
      <c r="B34" s="3"/>
      <c r="C34" s="3"/>
      <c r="D34" s="1">
        <v>10</v>
      </c>
      <c r="E34" s="1">
        <v>15744</v>
      </c>
      <c r="F34" s="1">
        <v>5000</v>
      </c>
      <c r="G34" s="1">
        <v>5000</v>
      </c>
      <c r="H34" s="1">
        <f t="shared" si="0"/>
        <v>0</v>
      </c>
    </row>
    <row r="35" spans="2:10" x14ac:dyDescent="0.3">
      <c r="B35" s="3" t="s">
        <v>3</v>
      </c>
      <c r="C35" s="3" t="s">
        <v>12</v>
      </c>
      <c r="D35" s="3"/>
      <c r="E35" s="1">
        <f>AVERAGE(E25:E34)</f>
        <v>15970.6</v>
      </c>
      <c r="F35" s="1"/>
      <c r="G35" s="1"/>
      <c r="H35" s="1">
        <f>AVERAGE(H25:H34)</f>
        <v>0</v>
      </c>
    </row>
    <row r="36" spans="2:10" x14ac:dyDescent="0.3">
      <c r="B36" s="3"/>
      <c r="C36" s="3">
        <v>10</v>
      </c>
      <c r="D36" s="1">
        <v>1</v>
      </c>
      <c r="E36" s="1">
        <v>268665</v>
      </c>
      <c r="F36" s="1">
        <v>5000</v>
      </c>
      <c r="G36" s="1">
        <v>5000</v>
      </c>
      <c r="H36" s="1">
        <f t="shared" si="0"/>
        <v>0</v>
      </c>
      <c r="J36">
        <f>MIN(E36:E45)</f>
        <v>267764</v>
      </c>
    </row>
    <row r="37" spans="2:10" x14ac:dyDescent="0.3">
      <c r="B37" s="3"/>
      <c r="C37" s="3"/>
      <c r="D37" s="1">
        <v>2</v>
      </c>
      <c r="E37" s="1">
        <v>268165</v>
      </c>
      <c r="F37" s="1">
        <v>5000</v>
      </c>
      <c r="G37" s="1">
        <v>5000</v>
      </c>
      <c r="H37" s="1">
        <f t="shared" si="0"/>
        <v>0</v>
      </c>
      <c r="J37">
        <f>MAX(E36:E45)</f>
        <v>270148</v>
      </c>
    </row>
    <row r="38" spans="2:10" x14ac:dyDescent="0.3">
      <c r="B38" s="3"/>
      <c r="C38" s="3"/>
      <c r="D38" s="1">
        <v>3</v>
      </c>
      <c r="E38" s="1">
        <v>268103</v>
      </c>
      <c r="F38" s="1">
        <v>5000</v>
      </c>
      <c r="G38" s="1">
        <v>5000</v>
      </c>
      <c r="H38" s="1">
        <f t="shared" si="0"/>
        <v>0</v>
      </c>
    </row>
    <row r="39" spans="2:10" x14ac:dyDescent="0.3">
      <c r="B39" s="3"/>
      <c r="C39" s="3"/>
      <c r="D39" s="1">
        <v>4</v>
      </c>
      <c r="E39" s="1">
        <v>268372</v>
      </c>
      <c r="F39" s="1">
        <v>5000</v>
      </c>
      <c r="G39" s="1">
        <v>5000</v>
      </c>
      <c r="H39" s="1">
        <f t="shared" si="0"/>
        <v>0</v>
      </c>
    </row>
    <row r="40" spans="2:10" x14ac:dyDescent="0.3">
      <c r="B40" s="3"/>
      <c r="C40" s="3"/>
      <c r="D40" s="1">
        <v>5</v>
      </c>
      <c r="E40" s="4">
        <v>267764</v>
      </c>
      <c r="F40" s="1">
        <v>5000</v>
      </c>
      <c r="G40" s="1">
        <v>5000</v>
      </c>
      <c r="H40" s="1">
        <f t="shared" si="0"/>
        <v>0</v>
      </c>
    </row>
    <row r="41" spans="2:10" x14ac:dyDescent="0.3">
      <c r="B41" s="3"/>
      <c r="C41" s="3"/>
      <c r="D41" s="1">
        <v>6</v>
      </c>
      <c r="E41" s="1">
        <v>267846</v>
      </c>
      <c r="F41" s="1">
        <v>5000</v>
      </c>
      <c r="G41" s="1">
        <v>5000</v>
      </c>
      <c r="H41" s="1">
        <f t="shared" si="0"/>
        <v>0</v>
      </c>
    </row>
    <row r="42" spans="2:10" x14ac:dyDescent="0.3">
      <c r="B42" s="3"/>
      <c r="C42" s="3"/>
      <c r="D42" s="1">
        <v>7</v>
      </c>
      <c r="E42" s="1">
        <v>270064</v>
      </c>
      <c r="F42" s="1">
        <v>5000</v>
      </c>
      <c r="G42" s="1">
        <v>5000</v>
      </c>
      <c r="H42" s="1">
        <f t="shared" si="0"/>
        <v>0</v>
      </c>
    </row>
    <row r="43" spans="2:10" x14ac:dyDescent="0.3">
      <c r="B43" s="3"/>
      <c r="C43" s="3"/>
      <c r="D43" s="1">
        <v>8</v>
      </c>
      <c r="E43" s="1">
        <v>269565</v>
      </c>
      <c r="F43" s="1">
        <v>5000</v>
      </c>
      <c r="G43" s="1">
        <v>5000</v>
      </c>
      <c r="H43" s="1">
        <f t="shared" si="0"/>
        <v>0</v>
      </c>
    </row>
    <row r="44" spans="2:10" x14ac:dyDescent="0.3">
      <c r="B44" s="3"/>
      <c r="C44" s="3"/>
      <c r="D44" s="1">
        <v>9</v>
      </c>
      <c r="E44" s="5">
        <v>270148</v>
      </c>
      <c r="F44" s="1">
        <v>5000</v>
      </c>
      <c r="G44" s="1">
        <v>5000</v>
      </c>
      <c r="H44" s="1">
        <f t="shared" si="0"/>
        <v>0</v>
      </c>
    </row>
    <row r="45" spans="2:10" x14ac:dyDescent="0.3">
      <c r="B45" s="3"/>
      <c r="C45" s="3"/>
      <c r="D45" s="1">
        <v>10</v>
      </c>
      <c r="E45" s="1">
        <v>269310</v>
      </c>
      <c r="F45" s="1">
        <v>5000</v>
      </c>
      <c r="G45" s="1">
        <v>5000</v>
      </c>
      <c r="H45" s="1">
        <f t="shared" si="0"/>
        <v>0</v>
      </c>
    </row>
    <row r="46" spans="2:10" x14ac:dyDescent="0.3">
      <c r="B46" s="3"/>
      <c r="C46" s="3" t="s">
        <v>12</v>
      </c>
      <c r="D46" s="3"/>
      <c r="E46" s="1">
        <f>AVERAGE(E36:E45)</f>
        <v>268800.2</v>
      </c>
      <c r="F46" s="1"/>
      <c r="G46" s="1"/>
      <c r="H46" s="1">
        <f>AVERAGE(H36:H45)</f>
        <v>0</v>
      </c>
    </row>
    <row r="47" spans="2:10" x14ac:dyDescent="0.3">
      <c r="B47" s="3" t="s">
        <v>4</v>
      </c>
      <c r="C47" s="3">
        <v>10</v>
      </c>
      <c r="D47" s="1">
        <v>1</v>
      </c>
      <c r="E47" s="1">
        <v>16991</v>
      </c>
      <c r="F47" s="1">
        <v>5000</v>
      </c>
      <c r="G47" s="1">
        <v>5000</v>
      </c>
      <c r="H47" s="1">
        <f t="shared" si="0"/>
        <v>0</v>
      </c>
      <c r="J47">
        <f>MIN(E47:E56)</f>
        <v>15693</v>
      </c>
    </row>
    <row r="48" spans="2:10" x14ac:dyDescent="0.3">
      <c r="B48" s="3"/>
      <c r="C48" s="3"/>
      <c r="D48" s="1">
        <v>2</v>
      </c>
      <c r="E48" s="1">
        <v>15940</v>
      </c>
      <c r="F48" s="1">
        <v>5000</v>
      </c>
      <c r="G48" s="1">
        <v>5000</v>
      </c>
      <c r="H48" s="1">
        <f t="shared" si="0"/>
        <v>0</v>
      </c>
      <c r="J48">
        <f>MAX(E47:E56)</f>
        <v>17147</v>
      </c>
    </row>
    <row r="49" spans="2:10" x14ac:dyDescent="0.3">
      <c r="B49" s="3"/>
      <c r="C49" s="3"/>
      <c r="D49" s="1">
        <v>3</v>
      </c>
      <c r="E49" s="1">
        <v>16542</v>
      </c>
      <c r="F49" s="1">
        <v>5000</v>
      </c>
      <c r="G49" s="1">
        <v>5000</v>
      </c>
      <c r="H49" s="1">
        <f t="shared" si="0"/>
        <v>0</v>
      </c>
    </row>
    <row r="50" spans="2:10" x14ac:dyDescent="0.3">
      <c r="B50" s="3"/>
      <c r="C50" s="3"/>
      <c r="D50" s="1">
        <v>4</v>
      </c>
      <c r="E50" s="1">
        <v>16274</v>
      </c>
      <c r="F50" s="1">
        <v>5000</v>
      </c>
      <c r="G50" s="1">
        <v>5000</v>
      </c>
      <c r="H50" s="1">
        <f t="shared" si="0"/>
        <v>0</v>
      </c>
    </row>
    <row r="51" spans="2:10" x14ac:dyDescent="0.3">
      <c r="B51" s="3"/>
      <c r="C51" s="3"/>
      <c r="D51" s="1">
        <v>5</v>
      </c>
      <c r="E51" s="1">
        <v>15783</v>
      </c>
      <c r="F51" s="1">
        <v>5000</v>
      </c>
      <c r="G51" s="1">
        <v>5000</v>
      </c>
      <c r="H51" s="1">
        <f t="shared" si="0"/>
        <v>0</v>
      </c>
    </row>
    <row r="52" spans="2:10" x14ac:dyDescent="0.3">
      <c r="B52" s="3"/>
      <c r="C52" s="3"/>
      <c r="D52" s="1">
        <v>6</v>
      </c>
      <c r="E52" s="1">
        <v>16980</v>
      </c>
      <c r="F52" s="1">
        <v>5000</v>
      </c>
      <c r="G52" s="1">
        <v>5000</v>
      </c>
      <c r="H52" s="1">
        <f t="shared" si="0"/>
        <v>0</v>
      </c>
    </row>
    <row r="53" spans="2:10" x14ac:dyDescent="0.3">
      <c r="B53" s="3"/>
      <c r="C53" s="3"/>
      <c r="D53" s="1">
        <v>7</v>
      </c>
      <c r="E53" s="1">
        <v>16364</v>
      </c>
      <c r="F53" s="1">
        <v>5000</v>
      </c>
      <c r="G53" s="1">
        <v>5000</v>
      </c>
      <c r="H53" s="1">
        <f t="shared" si="0"/>
        <v>0</v>
      </c>
    </row>
    <row r="54" spans="2:10" x14ac:dyDescent="0.3">
      <c r="B54" s="3"/>
      <c r="C54" s="3"/>
      <c r="D54" s="1">
        <v>8</v>
      </c>
      <c r="E54" s="5">
        <v>17147</v>
      </c>
      <c r="F54" s="1">
        <v>5000</v>
      </c>
      <c r="G54" s="1">
        <v>5000</v>
      </c>
      <c r="H54" s="1">
        <f t="shared" si="0"/>
        <v>0</v>
      </c>
    </row>
    <row r="55" spans="2:10" x14ac:dyDescent="0.3">
      <c r="B55" s="3"/>
      <c r="C55" s="3"/>
      <c r="D55" s="1">
        <v>9</v>
      </c>
      <c r="E55" s="1">
        <v>16010</v>
      </c>
      <c r="F55" s="1">
        <v>5000</v>
      </c>
      <c r="G55" s="1">
        <v>5000</v>
      </c>
      <c r="H55" s="1">
        <f t="shared" si="0"/>
        <v>0</v>
      </c>
    </row>
    <row r="56" spans="2:10" x14ac:dyDescent="0.3">
      <c r="B56" s="3"/>
      <c r="C56" s="3"/>
      <c r="D56" s="1">
        <v>10</v>
      </c>
      <c r="E56" s="4">
        <v>15693</v>
      </c>
      <c r="F56" s="1">
        <v>5000</v>
      </c>
      <c r="G56" s="1">
        <v>5000</v>
      </c>
      <c r="H56" s="1">
        <f t="shared" si="0"/>
        <v>0</v>
      </c>
    </row>
    <row r="57" spans="2:10" x14ac:dyDescent="0.3">
      <c r="B57" s="3"/>
      <c r="C57" s="3" t="s">
        <v>12</v>
      </c>
      <c r="D57" s="3"/>
      <c r="E57" s="1">
        <f>AVERAGE(E47:E56)</f>
        <v>16372.4</v>
      </c>
      <c r="F57" s="1"/>
      <c r="G57" s="1"/>
      <c r="H57" s="1">
        <f>AVERAGE(H47:H56)</f>
        <v>0</v>
      </c>
    </row>
    <row r="58" spans="2:10" x14ac:dyDescent="0.3">
      <c r="B58" s="3" t="s">
        <v>15</v>
      </c>
      <c r="C58" s="3">
        <v>10</v>
      </c>
      <c r="D58" s="1">
        <v>1</v>
      </c>
      <c r="E58" s="1">
        <v>15159</v>
      </c>
      <c r="F58" s="1">
        <v>5000</v>
      </c>
      <c r="G58" s="1">
        <v>5000</v>
      </c>
      <c r="H58" s="1">
        <f>AVERAGE(H48:H57)</f>
        <v>0</v>
      </c>
      <c r="J58">
        <f>MIN(E58:E67)</f>
        <v>14679</v>
      </c>
    </row>
    <row r="59" spans="2:10" x14ac:dyDescent="0.3">
      <c r="B59" s="3"/>
      <c r="C59" s="3"/>
      <c r="D59" s="1">
        <v>2</v>
      </c>
      <c r="E59" s="1">
        <v>15193</v>
      </c>
      <c r="F59" s="1">
        <v>5000</v>
      </c>
      <c r="G59" s="1">
        <v>5000</v>
      </c>
      <c r="H59" s="1">
        <f t="shared" ref="H59:H67" si="1">AVERAGE(H49:H58)</f>
        <v>0</v>
      </c>
      <c r="J59">
        <f>MAX(E58:E67)</f>
        <v>15413</v>
      </c>
    </row>
    <row r="60" spans="2:10" x14ac:dyDescent="0.3">
      <c r="B60" s="3"/>
      <c r="C60" s="3"/>
      <c r="D60" s="1">
        <v>3</v>
      </c>
      <c r="E60" s="1">
        <v>14967</v>
      </c>
      <c r="F60" s="1">
        <v>5000</v>
      </c>
      <c r="G60" s="1">
        <v>5000</v>
      </c>
      <c r="H60" s="1">
        <f t="shared" si="1"/>
        <v>0</v>
      </c>
    </row>
    <row r="61" spans="2:10" x14ac:dyDescent="0.3">
      <c r="B61" s="3"/>
      <c r="C61" s="3"/>
      <c r="D61" s="1">
        <v>4</v>
      </c>
      <c r="E61" s="1">
        <v>15039</v>
      </c>
      <c r="F61" s="1">
        <v>5000</v>
      </c>
      <c r="G61" s="1">
        <v>5000</v>
      </c>
      <c r="H61" s="1">
        <f t="shared" si="1"/>
        <v>0</v>
      </c>
    </row>
    <row r="62" spans="2:10" x14ac:dyDescent="0.3">
      <c r="B62" s="3"/>
      <c r="C62" s="3"/>
      <c r="D62" s="1">
        <v>5</v>
      </c>
      <c r="E62" s="1">
        <v>14877</v>
      </c>
      <c r="F62" s="1">
        <v>5000</v>
      </c>
      <c r="G62" s="1">
        <v>5000</v>
      </c>
      <c r="H62" s="1">
        <f t="shared" si="1"/>
        <v>0</v>
      </c>
    </row>
    <row r="63" spans="2:10" x14ac:dyDescent="0.3">
      <c r="B63" s="3"/>
      <c r="C63" s="3"/>
      <c r="D63" s="1">
        <v>6</v>
      </c>
      <c r="E63" s="1">
        <v>15029</v>
      </c>
      <c r="F63" s="1">
        <v>5000</v>
      </c>
      <c r="G63" s="1">
        <v>5000</v>
      </c>
      <c r="H63" s="1">
        <f t="shared" si="1"/>
        <v>0</v>
      </c>
    </row>
    <row r="64" spans="2:10" x14ac:dyDescent="0.3">
      <c r="B64" s="3"/>
      <c r="C64" s="3"/>
      <c r="D64" s="1">
        <v>7</v>
      </c>
      <c r="E64" s="1">
        <v>15049</v>
      </c>
      <c r="F64" s="1">
        <v>5000</v>
      </c>
      <c r="G64" s="1">
        <v>5000</v>
      </c>
      <c r="H64" s="1">
        <f t="shared" si="1"/>
        <v>0</v>
      </c>
    </row>
    <row r="65" spans="2:8" x14ac:dyDescent="0.3">
      <c r="B65" s="3"/>
      <c r="C65" s="3"/>
      <c r="D65" s="1">
        <v>8</v>
      </c>
      <c r="E65" s="1">
        <v>15054</v>
      </c>
      <c r="F65" s="1">
        <v>5000</v>
      </c>
      <c r="G65" s="1">
        <v>5000</v>
      </c>
      <c r="H65" s="1">
        <f t="shared" si="1"/>
        <v>0</v>
      </c>
    </row>
    <row r="66" spans="2:8" x14ac:dyDescent="0.3">
      <c r="B66" s="3"/>
      <c r="C66" s="3"/>
      <c r="D66" s="1">
        <v>9</v>
      </c>
      <c r="E66" s="4">
        <v>14679</v>
      </c>
      <c r="F66" s="1">
        <v>5000</v>
      </c>
      <c r="G66" s="1">
        <v>5000</v>
      </c>
      <c r="H66" s="1">
        <f t="shared" si="1"/>
        <v>0</v>
      </c>
    </row>
    <row r="67" spans="2:8" x14ac:dyDescent="0.3">
      <c r="B67" s="3"/>
      <c r="C67" s="3"/>
      <c r="D67" s="1">
        <v>10</v>
      </c>
      <c r="E67" s="5">
        <v>15413</v>
      </c>
      <c r="F67" s="1">
        <v>5000</v>
      </c>
      <c r="G67" s="1">
        <v>5000</v>
      </c>
      <c r="H67" s="1">
        <f t="shared" si="1"/>
        <v>0</v>
      </c>
    </row>
    <row r="68" spans="2:8" x14ac:dyDescent="0.3">
      <c r="B68" s="3"/>
      <c r="C68" s="3" t="s">
        <v>12</v>
      </c>
      <c r="D68" s="3"/>
      <c r="E68" s="1">
        <f>AVERAGE(E58:E67)</f>
        <v>15045.9</v>
      </c>
      <c r="F68" s="1"/>
      <c r="G68" s="1"/>
      <c r="H68" s="1">
        <f>AVERAGE(H58:H67)</f>
        <v>0</v>
      </c>
    </row>
  </sheetData>
  <mergeCells count="19">
    <mergeCell ref="C68:D68"/>
    <mergeCell ref="B58:B68"/>
    <mergeCell ref="B47:B57"/>
    <mergeCell ref="B35:B46"/>
    <mergeCell ref="B25:B34"/>
    <mergeCell ref="B14:B24"/>
    <mergeCell ref="B3:B13"/>
    <mergeCell ref="C13:D13"/>
    <mergeCell ref="C24:D24"/>
    <mergeCell ref="C35:D35"/>
    <mergeCell ref="B1:H1"/>
    <mergeCell ref="C3:C12"/>
    <mergeCell ref="C14:C23"/>
    <mergeCell ref="C25:C34"/>
    <mergeCell ref="C36:C45"/>
    <mergeCell ref="C47:C56"/>
    <mergeCell ref="C58:C67"/>
    <mergeCell ref="C46:D46"/>
    <mergeCell ref="C57:D57"/>
  </mergeCells>
  <phoneticPr fontId="1" type="noConversion"/>
  <pageMargins left="0.7" right="0.7" top="0.75" bottom="0.75" header="0.3" footer="0.3"/>
  <pageSetup paperSize="9" scale="6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93C2CCB23832E49A0EB3FE584667262" ma:contentTypeVersion="15" ma:contentTypeDescription="새 문서를 만듭니다." ma:contentTypeScope="" ma:versionID="6680324fe24913203e3c36dde1c03c93">
  <xsd:schema xmlns:xsd="http://www.w3.org/2001/XMLSchema" xmlns:xs="http://www.w3.org/2001/XMLSchema" xmlns:p="http://schemas.microsoft.com/office/2006/metadata/properties" xmlns:ns3="a72d5394-e4fc-4c90-9269-311a0b8a406b" xmlns:ns4="b4041dc0-fa4f-49ce-b0e6-bf33b51ff3b7" targetNamespace="http://schemas.microsoft.com/office/2006/metadata/properties" ma:root="true" ma:fieldsID="684ad82d4dc75f28892b4b9496289ce1" ns3:_="" ns4:_="">
    <xsd:import namespace="a72d5394-e4fc-4c90-9269-311a0b8a406b"/>
    <xsd:import namespace="b4041dc0-fa4f-49ce-b0e6-bf33b51ff3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d5394-e4fc-4c90-9269-311a0b8a4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41dc0-fa4f-49ce-b0e6-bf33b51ff3b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72d5394-e4fc-4c90-9269-311a0b8a406b" xsi:nil="true"/>
  </documentManagement>
</p:properties>
</file>

<file path=customXml/itemProps1.xml><?xml version="1.0" encoding="utf-8"?>
<ds:datastoreItem xmlns:ds="http://schemas.openxmlformats.org/officeDocument/2006/customXml" ds:itemID="{FA826E63-6D52-4330-B3BC-D23B43D643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2d5394-e4fc-4c90-9269-311a0b8a406b"/>
    <ds:schemaRef ds:uri="b4041dc0-fa4f-49ce-b0e6-bf33b51ff3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8FA2E2-051D-4F7E-986F-1753EF699B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D7846-31F2-43A9-8C5D-564B1B34F6F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041dc0-fa4f-49ce-b0e6-bf33b51ff3b7"/>
    <ds:schemaRef ds:uri="a72d5394-e4fc-4c90-9269-311a0b8a406b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승호</dc:creator>
  <cp:lastModifiedBy>이 승호</cp:lastModifiedBy>
  <cp:lastPrinted>2025-11-28T11:55:12Z</cp:lastPrinted>
  <dcterms:created xsi:type="dcterms:W3CDTF">2025-11-28T07:00:31Z</dcterms:created>
  <dcterms:modified xsi:type="dcterms:W3CDTF">2025-11-28T23:34:46Z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0x010100093C2CCB23832E49A0EB3FE584667262</vt:lpwstr>
  </property>
</Properties>
</file>